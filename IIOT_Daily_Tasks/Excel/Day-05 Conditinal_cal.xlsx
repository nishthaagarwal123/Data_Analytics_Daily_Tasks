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CD2E1F9D-9DA7-4793-A0AA-14D2B23C7D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ditional Ca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4" i="1"/>
  <c r="I3" i="1"/>
  <c r="I2" i="1"/>
  <c r="I9" i="1"/>
  <c r="I7" i="1"/>
  <c r="I6" i="1"/>
  <c r="I5" i="1"/>
</calcChain>
</file>

<file path=xl/sharedStrings.xml><?xml version="1.0" encoding="utf-8"?>
<sst xmlns="http://schemas.openxmlformats.org/spreadsheetml/2006/main" count="48" uniqueCount="36">
  <si>
    <t>Order</t>
  </si>
  <si>
    <t>Region</t>
  </si>
  <si>
    <t>Category</t>
  </si>
  <si>
    <t>Units</t>
  </si>
  <si>
    <t>Revenue</t>
  </si>
  <si>
    <t>Metric</t>
  </si>
  <si>
    <t>O201</t>
  </si>
  <si>
    <t>North</t>
  </si>
  <si>
    <t>Stationery</t>
  </si>
  <si>
    <t>North Revenue</t>
  </si>
  <si>
    <t>O202</t>
  </si>
  <si>
    <t>South</t>
  </si>
  <si>
    <t>Electronics</t>
  </si>
  <si>
    <t>Stationery Revenue</t>
  </si>
  <si>
    <t>O203</t>
  </si>
  <si>
    <t>North Orders</t>
  </si>
  <si>
    <t>O204</t>
  </si>
  <si>
    <t>East</t>
  </si>
  <si>
    <t>Electronics Orders</t>
  </si>
  <si>
    <t>O205</t>
  </si>
  <si>
    <t>West</t>
  </si>
  <si>
    <t>North Electronics Revenue</t>
  </si>
  <si>
    <t>O206</t>
  </si>
  <si>
    <t>Average Stationery Revenue</t>
  </si>
  <si>
    <t>O207</t>
  </si>
  <si>
    <t>Min Electronics Revenue</t>
  </si>
  <si>
    <t>O208</t>
  </si>
  <si>
    <t>Max Electronics Revenue</t>
  </si>
  <si>
    <t>Result</t>
  </si>
  <si>
    <t>condition</t>
  </si>
  <si>
    <t>Sumif</t>
  </si>
  <si>
    <t>Countif</t>
  </si>
  <si>
    <t>Sumifs</t>
  </si>
  <si>
    <t>Averageif</t>
  </si>
  <si>
    <t>minifs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</si>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</sst>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2" width="12" customWidth="1"/>
    <col min="3" max="3" width="16" customWidth="1"/>
    <col min="4" max="4" width="12" customWidth="1"/>
    <col min="5" max="5" width="14" customWidth="1"/>
    <col min="7" max="7" width="24.109375" bestFit="1" customWidth="1"/>
    <col min="8" max="8" width="24.109375" customWidth="1"/>
    <col min="9" max="9" width="5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29</v>
      </c>
      <c r="I1" s="1" t="s">
        <v>28</v>
      </c>
    </row>
    <row r="2" spans="1:9" x14ac:dyDescent="0.3">
      <c r="A2" t="s">
        <v>6</v>
      </c>
      <c r="B2" t="s">
        <v>7</v>
      </c>
      <c r="C2" t="s">
        <v>8</v>
      </c>
      <c r="D2">
        <v>15</v>
      </c>
      <c r="E2">
        <v>2250</v>
      </c>
      <c r="G2" t="s">
        <v>9</v>
      </c>
      <c r="H2" t="s">
        <v>30</v>
      </c>
      <c r="I2">
        <f>SUMIF(B2:B9,"North",E2:E9)</f>
        <v>32700</v>
      </c>
    </row>
    <row r="3" spans="1:9" x14ac:dyDescent="0.3">
      <c r="A3" t="s">
        <v>10</v>
      </c>
      <c r="B3" t="s">
        <v>11</v>
      </c>
      <c r="C3" t="s">
        <v>12</v>
      </c>
      <c r="D3">
        <v>4</v>
      </c>
      <c r="E3">
        <v>18400</v>
      </c>
      <c r="G3" t="s">
        <v>13</v>
      </c>
      <c r="H3" t="s">
        <v>30</v>
      </c>
      <c r="I3">
        <f>SUMIF(C2:C9,"Stationery",E2:E9)</f>
        <v>10050</v>
      </c>
    </row>
    <row r="4" spans="1:9" x14ac:dyDescent="0.3">
      <c r="A4" t="s">
        <v>14</v>
      </c>
      <c r="B4" t="s">
        <v>7</v>
      </c>
      <c r="C4" t="s">
        <v>12</v>
      </c>
      <c r="D4">
        <v>6</v>
      </c>
      <c r="E4">
        <v>27600</v>
      </c>
      <c r="G4" t="s">
        <v>15</v>
      </c>
      <c r="H4" t="s">
        <v>31</v>
      </c>
      <c r="I4">
        <f>COUNTIF(B2:B9,"North")</f>
        <v>3</v>
      </c>
    </row>
    <row r="5" spans="1:9" x14ac:dyDescent="0.3">
      <c r="A5" t="s">
        <v>16</v>
      </c>
      <c r="B5" t="s">
        <v>17</v>
      </c>
      <c r="C5" t="s">
        <v>8</v>
      </c>
      <c r="D5">
        <v>21</v>
      </c>
      <c r="E5">
        <v>3150</v>
      </c>
      <c r="G5" t="s">
        <v>18</v>
      </c>
      <c r="H5" t="s">
        <v>31</v>
      </c>
      <c r="I5">
        <f>COUNTIF(C2:C9,"Electronics")</f>
        <v>4</v>
      </c>
    </row>
    <row r="6" spans="1:9" x14ac:dyDescent="0.3">
      <c r="A6" t="s">
        <v>19</v>
      </c>
      <c r="B6" t="s">
        <v>20</v>
      </c>
      <c r="C6" t="s">
        <v>8</v>
      </c>
      <c r="D6">
        <v>12</v>
      </c>
      <c r="E6">
        <v>1800</v>
      </c>
      <c r="G6" t="s">
        <v>21</v>
      </c>
      <c r="H6" t="s">
        <v>32</v>
      </c>
      <c r="I6">
        <f>SUMIFS(E2:E9,B2:B9,"North",C2:C9,"Electronics")</f>
        <v>27600</v>
      </c>
    </row>
    <row r="7" spans="1:9" x14ac:dyDescent="0.3">
      <c r="A7" t="s">
        <v>22</v>
      </c>
      <c r="B7" t="s">
        <v>17</v>
      </c>
      <c r="C7" t="s">
        <v>12</v>
      </c>
      <c r="D7">
        <v>3</v>
      </c>
      <c r="E7">
        <v>13800</v>
      </c>
      <c r="G7" t="s">
        <v>23</v>
      </c>
      <c r="H7" t="s">
        <v>33</v>
      </c>
      <c r="I7">
        <f>AVERAGEIF(C2:C9,"Stationery",E2:E9)</f>
        <v>2512.5</v>
      </c>
    </row>
    <row r="8" spans="1:9" x14ac:dyDescent="0.3">
      <c r="A8" t="s">
        <v>24</v>
      </c>
      <c r="B8" t="s">
        <v>7</v>
      </c>
      <c r="C8" t="s">
        <v>8</v>
      </c>
      <c r="D8">
        <v>19</v>
      </c>
      <c r="E8">
        <v>2850</v>
      </c>
      <c r="G8" t="s">
        <v>25</v>
      </c>
      <c r="H8" t="s">
        <v>34</v>
      </c>
      <c r="I8">
        <f>_xlfn.MINIFS(E2:E9,C2:C9,"Electronics")</f>
        <v>13800</v>
      </c>
    </row>
    <row r="9" spans="1:9" x14ac:dyDescent="0.3">
      <c r="A9" t="s">
        <v>26</v>
      </c>
      <c r="B9" t="s">
        <v>20</v>
      </c>
      <c r="C9" t="s">
        <v>12</v>
      </c>
      <c r="D9">
        <v>5</v>
      </c>
      <c r="E9">
        <v>23000</v>
      </c>
      <c r="G9" t="s">
        <v>27</v>
      </c>
      <c r="H9" t="s">
        <v>35</v>
      </c>
      <c r="I9">
        <f>_xlfn.MAXIFS(E2:E9,C2:C9,"Electronics")</f>
        <v>27600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2026-09-21T16:23:04Z</dcterms:modified>
</cp:coreProperties>
</file>